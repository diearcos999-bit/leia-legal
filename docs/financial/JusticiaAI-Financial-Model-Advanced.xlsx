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Revenue Model" sheetId="3" state="visible" r:id="rId3"/>
    <sheet name="Unit Economics" sheetId="4" state="visible" r:id="rId4"/>
    <sheet name="P&amp;L" sheetId="5" state="visible" r:id="rId5"/>
    <sheet name="Cash Flow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&quot;x&quot;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C2626"/>
    </font>
    <font>
      <b val="1"/>
      <sz val="12"/>
    </font>
    <font>
      <b val="1"/>
    </font>
    <font>
      <b val="1"/>
      <color rgb="00FFFFFF"/>
    </font>
    <font>
      <b val="1"/>
      <color rgb="00FFFFFF"/>
      <sz val="14"/>
    </font>
    <font>
      <b val="1"/>
      <color rgb="00047857"/>
      <sz val="12"/>
    </font>
    <font>
      <b val="1"/>
      <color rgb="00047857"/>
    </font>
    <font>
      <i val="1"/>
    </font>
    <font>
      <b val="1"/>
      <color rgb="00FFFFFF"/>
      <sz val="12"/>
    </font>
    <font>
      <b val="1"/>
      <color rgb="00FFFFFF"/>
      <sz val="18"/>
    </font>
    <font>
      <b val="1"/>
      <sz val="14"/>
    </font>
    <font>
      <b val="1"/>
      <i val="1"/>
      <color rgb="007C3AED"/>
    </font>
  </fonts>
  <fills count="31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EC4899"/>
        <bgColor rgb="00EC4899"/>
      </patternFill>
    </fill>
    <fill>
      <patternFill patternType="solid">
        <fgColor rgb="00FCE7F3"/>
        <bgColor rgb="00FCE7F3"/>
      </patternFill>
    </fill>
    <fill>
      <patternFill patternType="solid">
        <fgColor rgb="008B5CF6"/>
        <bgColor rgb="008B5CF6"/>
      </patternFill>
    </fill>
    <fill>
      <patternFill patternType="solid">
        <fgColor rgb="00EDE9FE"/>
        <bgColor rgb="00EDE9FE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06B6D4"/>
        <bgColor rgb="0006B6D4"/>
      </patternFill>
    </fill>
    <fill>
      <patternFill patternType="solid">
        <fgColor rgb="00CFFAFE"/>
        <bgColor rgb="00CFFAFE"/>
      </patternFill>
    </fill>
    <fill>
      <patternFill patternType="solid">
        <fgColor rgb="0064748B"/>
        <bgColor rgb="0064748B"/>
      </patternFill>
    </fill>
    <fill>
      <patternFill patternType="solid">
        <fgColor rgb="00F1F5F9"/>
        <bgColor rgb="00F1F5F9"/>
      </patternFill>
    </fill>
    <fill>
      <patternFill patternType="solid">
        <fgColor rgb="0014B8A6"/>
        <bgColor rgb="0014B8A6"/>
      </patternFill>
    </fill>
    <fill>
      <patternFill patternType="solid">
        <fgColor rgb="00CCFBF1"/>
        <bgColor rgb="00CCFBF1"/>
      </patternFill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B91C1C"/>
        <bgColor rgb="00B91C1C"/>
      </patternFill>
    </fill>
    <fill>
      <patternFill patternType="solid">
        <fgColor rgb="006D28D9"/>
        <bgColor rgb="006D28D9"/>
      </patternFill>
    </fill>
    <fill>
      <patternFill patternType="solid">
        <fgColor rgb="006366F1"/>
        <bgColor rgb="006366F1"/>
      </patternFill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1" fillId="30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5" fillId="5" borderId="0" pivotButton="0" quotePrefix="0" xfId="0"/>
    <xf numFmtId="0" fontId="4" fillId="6" borderId="0" pivotButton="0" quotePrefix="0" xfId="0"/>
    <xf numFmtId="164" fontId="0" fillId="6" borderId="0" pivotButton="0" quotePrefix="0" xfId="0"/>
    <xf numFmtId="9" fontId="0" fillId="6" borderId="0" pivotButton="0" quotePrefix="0" xfId="0"/>
    <xf numFmtId="0" fontId="13" fillId="1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4" fillId="10" borderId="0" pivotButton="0" quotePrefix="0" xfId="0"/>
    <xf numFmtId="0" fontId="3" fillId="11" borderId="0" pivotButton="0" quotePrefix="0" xfId="0"/>
    <xf numFmtId="0" fontId="4" fillId="12" borderId="0" pivotButton="0" quotePrefix="0" xfId="0"/>
    <xf numFmtId="0" fontId="3" fillId="13" borderId="0" pivotButton="0" quotePrefix="0" xfId="0"/>
    <xf numFmtId="0" fontId="4" fillId="14" borderId="0" pivotButton="0" quotePrefix="0" xfId="0"/>
    <xf numFmtId="0" fontId="3" fillId="15" borderId="0" pivotButton="0" quotePrefix="0" xfId="0"/>
    <xf numFmtId="0" fontId="4" fillId="16" borderId="0" pivotButton="0" quotePrefix="0" xfId="0"/>
    <xf numFmtId="0" fontId="3" fillId="17" borderId="0" pivotButton="0" quotePrefix="0" xfId="0"/>
    <xf numFmtId="0" fontId="4" fillId="18" borderId="0" pivotButton="0" quotePrefix="0" xfId="0"/>
    <xf numFmtId="0" fontId="3" fillId="19" borderId="0" pivotButton="0" quotePrefix="0" xfId="0"/>
    <xf numFmtId="0" fontId="4" fillId="20" borderId="0" pivotButton="0" quotePrefix="0" xfId="0"/>
    <xf numFmtId="0" fontId="1" fillId="5" borderId="0" applyAlignment="1" pivotButton="0" quotePrefix="0" xfId="0">
      <alignment horizontal="center"/>
    </xf>
    <xf numFmtId="0" fontId="5" fillId="21" borderId="0" applyAlignment="1" pivotButton="0" quotePrefix="0" xfId="0">
      <alignment horizontal="center"/>
    </xf>
    <xf numFmtId="164" fontId="4" fillId="6" borderId="0" pivotButton="0" quotePrefix="0" xfId="0"/>
    <xf numFmtId="0" fontId="6" fillId="22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0" fontId="1" fillId="7" borderId="0" applyAlignment="1" pivotButton="0" quotePrefix="0" xfId="0">
      <alignment horizontal="center"/>
    </xf>
    <xf numFmtId="0" fontId="5" fillId="23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4" borderId="0" applyAlignment="1" pivotButton="0" quotePrefix="0" xfId="0">
      <alignment horizontal="center"/>
    </xf>
    <xf numFmtId="0" fontId="5" fillId="25" borderId="0" applyAlignment="1" pivotButton="0" quotePrefix="0" xfId="0">
      <alignment horizontal="center"/>
    </xf>
    <xf numFmtId="164" fontId="4" fillId="4" borderId="0" pivotButton="0" quotePrefix="0" xfId="0"/>
    <xf numFmtId="164" fontId="4" fillId="8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10" fillId="22" borderId="0" pivotButton="0" quotePrefix="0" xfId="0"/>
    <xf numFmtId="164" fontId="10" fillId="22" borderId="0" pivotButton="0" quotePrefix="0" xfId="0"/>
    <xf numFmtId="0" fontId="5" fillId="26" borderId="0" pivotButton="0" quotePrefix="0" xfId="0"/>
    <xf numFmtId="164" fontId="4" fillId="12" borderId="0" pivotButton="0" quotePrefix="0" xfId="0"/>
    <xf numFmtId="0" fontId="5" fillId="22" borderId="0" pivotButton="0" quotePrefix="0" xfId="0"/>
    <xf numFmtId="164" fontId="5" fillId="22" borderId="0" pivotButton="0" quotePrefix="0" xfId="0"/>
    <xf numFmtId="0" fontId="1" fillId="27" borderId="0" applyAlignment="1" pivotButton="0" quotePrefix="0" xfId="0">
      <alignment horizontal="center"/>
    </xf>
    <xf numFmtId="0" fontId="5" fillId="28" borderId="0" pivotButton="0" quotePrefix="0" xfId="0"/>
    <xf numFmtId="164" fontId="0" fillId="29" borderId="0" pivotButton="0" quotePrefix="0" xfId="0"/>
    <xf numFmtId="0" fontId="5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JUSTICIAAI - DASHBOARD FINANCIERO</t>
        </is>
      </c>
    </row>
    <row r="3">
      <c r="A3" s="2" t="inlineStr">
        <is>
          <t>RESUMEN EJECUTIVO - MÉTRICAS CLAVE</t>
        </is>
      </c>
    </row>
    <row r="4">
      <c r="A4" s="3" t="inlineStr">
        <is>
          <t>Métrica</t>
        </is>
      </c>
      <c r="B4" s="3" t="inlineStr">
        <is>
          <t>Año 1</t>
        </is>
      </c>
      <c r="C4" s="3" t="inlineStr">
        <is>
          <t>Año 2</t>
        </is>
      </c>
      <c r="D4" s="3" t="inlineStr">
        <is>
          <t>Año 3</t>
        </is>
      </c>
      <c r="E4" s="3" t="inlineStr">
        <is>
          <t>Growth</t>
        </is>
      </c>
    </row>
    <row r="5">
      <c r="A5" s="4" t="inlineStr">
        <is>
          <t>ARR</t>
        </is>
      </c>
      <c r="B5" s="5">
        <f>'Revenue Model'!B43</f>
        <v/>
      </c>
      <c r="C5" s="5">
        <f>'Revenue Model'!C43</f>
        <v/>
      </c>
      <c r="D5" s="5">
        <f>'Revenue Model'!D43</f>
        <v/>
      </c>
      <c r="E5" s="6">
        <f>'Revenue Model'!D45</f>
        <v/>
      </c>
    </row>
    <row r="6">
      <c r="A6" s="4" t="inlineStr">
        <is>
          <t>MRR</t>
        </is>
      </c>
      <c r="B6" s="5">
        <f>'Revenue Model'!B44</f>
        <v/>
      </c>
      <c r="C6" s="5">
        <f>'Revenue Model'!C44</f>
        <v/>
      </c>
      <c r="D6" s="5">
        <f>'Revenue Model'!D44</f>
        <v/>
      </c>
      <c r="E6" t="inlineStr"/>
    </row>
    <row r="7">
      <c r="A7" s="4" t="inlineStr">
        <is>
          <t>Usuarios/mes</t>
        </is>
      </c>
      <c r="B7" s="7">
        <f>Assumptions!C8</f>
        <v/>
      </c>
      <c r="C7" s="7">
        <f>Assumptions!D8</f>
        <v/>
      </c>
      <c r="D7" s="7">
        <f>Assumptions!E8</f>
        <v/>
      </c>
      <c r="E7" t="inlineStr"/>
    </row>
    <row r="8">
      <c r="A8" s="4" t="inlineStr">
        <is>
          <t>Abogados</t>
        </is>
      </c>
      <c r="B8" s="7">
        <f>Assumptions!C14</f>
        <v/>
      </c>
      <c r="C8" s="7">
        <f>Assumptions!D14</f>
        <v/>
      </c>
      <c r="D8" s="7">
        <f>Assumptions!E14</f>
        <v/>
      </c>
      <c r="E8" t="inlineStr"/>
    </row>
    <row r="9">
      <c r="A9" s="4" t="inlineStr">
        <is>
          <t>Gross Margin</t>
        </is>
      </c>
      <c r="B9" s="6">
        <f>'P&amp;L'!B19</f>
        <v/>
      </c>
      <c r="C9" s="6">
        <f>'P&amp;L'!C19</f>
        <v/>
      </c>
      <c r="D9" s="6">
        <f>'P&amp;L'!D19</f>
        <v/>
      </c>
      <c r="E9" t="inlineStr"/>
    </row>
    <row r="10">
      <c r="A10" s="4" t="inlineStr">
        <is>
          <t>EBITDA</t>
        </is>
      </c>
      <c r="B10" s="5">
        <f>'P&amp;L'!B30</f>
        <v/>
      </c>
      <c r="C10" s="5">
        <f>'P&amp;L'!C30</f>
        <v/>
      </c>
      <c r="D10" s="5">
        <f>'P&amp;L'!D30</f>
        <v/>
      </c>
      <c r="E10" t="inlineStr"/>
    </row>
    <row r="11">
      <c r="A11" s="4" t="inlineStr">
        <is>
          <t>EBITDA Margin</t>
        </is>
      </c>
      <c r="B11" s="6">
        <f>'P&amp;L'!B31</f>
        <v/>
      </c>
      <c r="C11" s="6">
        <f>'P&amp;L'!C31</f>
        <v/>
      </c>
      <c r="D11" s="6">
        <f>'P&amp;L'!D31</f>
        <v/>
      </c>
      <c r="E11" t="inlineStr"/>
    </row>
    <row r="12">
      <c r="A12" s="4" t="inlineStr">
        <is>
          <t>LTV/CAC</t>
        </is>
      </c>
      <c r="B12" s="8">
        <f>'Unit Economics'!B8</f>
        <v/>
      </c>
      <c r="C12" s="8">
        <f>'Unit Economics'!C8</f>
        <v/>
      </c>
      <c r="D12" s="8">
        <f>'Unit Economics'!D8</f>
        <v/>
      </c>
      <c r="E12" t="inlineStr"/>
    </row>
    <row r="13">
      <c r="A13" s="4" t="inlineStr">
        <is>
          <t>Cash Balance</t>
        </is>
      </c>
      <c r="B13" s="5">
        <f>'Cash Flow'!B30</f>
        <v/>
      </c>
      <c r="C13" s="5">
        <f>'Cash Flow'!C30</f>
        <v/>
      </c>
      <c r="D13" s="5">
        <f>'Cash Flow'!D30</f>
        <v/>
      </c>
      <c r="E13" t="inlineStr"/>
    </row>
    <row r="16">
      <c r="A16" s="9" t="inlineStr">
        <is>
          <t>DISTRIBUCIÓN DE INGRESOS - AÑO 3</t>
        </is>
      </c>
    </row>
    <row r="17">
      <c r="A17" s="10" t="inlineStr">
        <is>
          <t>Stream</t>
        </is>
      </c>
      <c r="B17" s="10" t="inlineStr">
        <is>
          <t>Monto</t>
        </is>
      </c>
      <c r="C17" s="10" t="inlineStr">
        <is>
          <t>% del Total</t>
        </is>
      </c>
    </row>
    <row r="18">
      <c r="A18" t="inlineStr">
        <is>
          <t>Comisiones</t>
        </is>
      </c>
      <c r="B18" s="5">
        <f>'Revenue Model'!D11</f>
        <v/>
      </c>
      <c r="C18" s="6">
        <f>B18/'Revenue Model'!D43</f>
        <v/>
      </c>
    </row>
    <row r="19">
      <c r="A19" t="inlineStr">
        <is>
          <t>Suscripciones</t>
        </is>
      </c>
      <c r="B19" s="5">
        <f>'Revenue Model'!D21</f>
        <v/>
      </c>
      <c r="C19" s="6">
        <f>B19/'Revenue Model'!D43</f>
        <v/>
      </c>
    </row>
    <row r="20">
      <c r="A20" t="inlineStr">
        <is>
          <t>Automatizados</t>
        </is>
      </c>
      <c r="B20" s="5">
        <f>'Revenue Model'!D29</f>
        <v/>
      </c>
      <c r="C20" s="6">
        <f>B20/'Revenue Model'!D43</f>
        <v/>
      </c>
    </row>
    <row r="21">
      <c r="A21" t="inlineStr">
        <is>
          <t>B2B</t>
        </is>
      </c>
      <c r="B21" s="5">
        <f>'Revenue Model'!D35</f>
        <v/>
      </c>
      <c r="C21" s="6">
        <f>B21/'Revenue Model'!D43</f>
        <v/>
      </c>
    </row>
    <row r="22">
      <c r="A22" t="inlineStr">
        <is>
          <t>Partnerships</t>
        </is>
      </c>
      <c r="B22" s="5">
        <f>'Revenue Model'!D39</f>
        <v/>
      </c>
      <c r="C22" s="6">
        <f>B22/'Revenue Model'!D43</f>
        <v/>
      </c>
    </row>
    <row r="23">
      <c r="A23" s="11" t="inlineStr">
        <is>
          <t>TOTAL</t>
        </is>
      </c>
      <c r="B23" s="12">
        <f>'Revenue Model'!D43</f>
        <v/>
      </c>
      <c r="C23" s="13">
        <f>SUM(C18:C22)</f>
        <v/>
      </c>
    </row>
    <row r="26">
      <c r="A26" s="14" t="inlineStr">
        <is>
          <t>MODELO DINÁMICO: Edita los valores en la hoja "Assumptions" y todo se actualiza automáticamente</t>
        </is>
      </c>
    </row>
  </sheetData>
  <mergeCells count="3">
    <mergeCell ref="A26:H26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5" t="inlineStr">
        <is>
          <t>SUPUESTOS DEL MODELO (EDITA ESTOS VALORES)</t>
        </is>
      </c>
    </row>
    <row r="2">
      <c r="A2" s="16" t="inlineStr">
        <is>
          <t>IMPORTANTE: Cambia estos valores y todas las hojas se actualizarán automáticamente</t>
        </is>
      </c>
    </row>
    <row r="4">
      <c r="A4" s="17" t="inlineStr">
        <is>
          <t>CRECIMIENTO DE USUARIOS</t>
        </is>
      </c>
    </row>
    <row r="5">
      <c r="A5" s="18" t="inlineStr">
        <is>
          <t>Métrica</t>
        </is>
      </c>
      <c r="B5" s="18" t="inlineStr">
        <is>
          <t>Año 1</t>
        </is>
      </c>
      <c r="C5" s="18" t="inlineStr">
        <is>
          <t>Año 2</t>
        </is>
      </c>
      <c r="D5" s="18" t="inlineStr">
        <is>
          <t>Año 3</t>
        </is>
      </c>
      <c r="E5" s="18" t="inlineStr">
        <is>
          <t>Unidad</t>
        </is>
      </c>
    </row>
    <row r="6">
      <c r="A6" t="inlineStr">
        <is>
          <t>Usuarios iniciales</t>
        </is>
      </c>
      <c r="B6" t="n">
        <v>100</v>
      </c>
      <c r="C6" t="n">
        <v>2000</v>
      </c>
      <c r="D6" t="n">
        <v>10000</v>
      </c>
      <c r="E6" t="inlineStr">
        <is>
          <t>usuarios</t>
        </is>
      </c>
    </row>
    <row r="7">
      <c r="A7" t="inlineStr">
        <is>
          <t>Crecimiento mensual</t>
        </is>
      </c>
      <c r="B7" t="n">
        <v>0.3</v>
      </c>
      <c r="C7" t="n">
        <v>0.25</v>
      </c>
      <c r="D7" t="n">
        <v>0.2</v>
      </c>
      <c r="E7" t="inlineStr">
        <is>
          <t>%</t>
        </is>
      </c>
    </row>
    <row r="8">
      <c r="A8" t="inlineStr">
        <is>
          <t>Usuarios finales (promedio)</t>
        </is>
      </c>
      <c r="B8" t="n">
        <v>2000</v>
      </c>
      <c r="C8" t="n">
        <v>10000</v>
      </c>
      <c r="D8" t="n">
        <v>30000</v>
      </c>
      <c r="E8" t="inlineStr">
        <is>
          <t>usuarios</t>
        </is>
      </c>
    </row>
    <row r="10">
      <c r="A10" s="19" t="inlineStr">
        <is>
          <t>CRECIMIENTO DE ABOGADOS</t>
        </is>
      </c>
    </row>
    <row r="11">
      <c r="A11" s="11" t="inlineStr">
        <is>
          <t>Métrica</t>
        </is>
      </c>
      <c r="B11" s="11" t="inlineStr">
        <is>
          <t>Año 1</t>
        </is>
      </c>
      <c r="C11" s="11" t="inlineStr">
        <is>
          <t>Año 2</t>
        </is>
      </c>
      <c r="D11" s="11" t="inlineStr">
        <is>
          <t>Año 3</t>
        </is>
      </c>
      <c r="E11" s="11" t="inlineStr">
        <is>
          <t>Unidad</t>
        </is>
      </c>
    </row>
    <row r="12">
      <c r="A12" t="inlineStr">
        <is>
          <t>Abogados iniciales</t>
        </is>
      </c>
      <c r="B12" t="n">
        <v>20</v>
      </c>
      <c r="C12" t="n">
        <v>100</v>
      </c>
      <c r="D12" t="n">
        <v>500</v>
      </c>
      <c r="E12" t="inlineStr">
        <is>
          <t>abogados</t>
        </is>
      </c>
    </row>
    <row r="13">
      <c r="A13" t="inlineStr">
        <is>
          <t>Crecimiento mensual</t>
        </is>
      </c>
      <c r="B13" t="n">
        <v>0.15</v>
      </c>
      <c r="C13" t="n">
        <v>0.2</v>
      </c>
      <c r="D13" t="n">
        <v>0.15</v>
      </c>
      <c r="E13" t="inlineStr">
        <is>
          <t>%</t>
        </is>
      </c>
    </row>
    <row r="14">
      <c r="A14" t="inlineStr">
        <is>
          <t>Abogados finales (promedio)</t>
        </is>
      </c>
      <c r="B14" t="n">
        <v>100</v>
      </c>
      <c r="C14" t="n">
        <v>500</v>
      </c>
      <c r="D14" t="n">
        <v>1000</v>
      </c>
      <c r="E14" t="inlineStr">
        <is>
          <t>abogados</t>
        </is>
      </c>
    </row>
    <row r="16">
      <c r="A16" s="20" t="inlineStr">
        <is>
          <t>TASAS DE CONVERSIÓN</t>
        </is>
      </c>
    </row>
    <row r="17">
      <c r="A17" s="21" t="inlineStr">
        <is>
          <t>Métrica</t>
        </is>
      </c>
      <c r="B17" s="21" t="inlineStr">
        <is>
          <t>Tasa</t>
        </is>
      </c>
      <c r="C17" s="21" t="inlineStr">
        <is>
          <t>Descripción</t>
        </is>
      </c>
      <c r="D17" t="inlineStr"/>
      <c r="E17" t="inlineStr"/>
    </row>
    <row r="18">
      <c r="A18" t="inlineStr">
        <is>
          <t>IA → Request Lawyer</t>
        </is>
      </c>
      <c r="B18" t="n">
        <v>0.2</v>
      </c>
      <c r="C18" t="inlineStr">
        <is>
          <t>Usuarios que piden abogado</t>
        </is>
      </c>
    </row>
    <row r="19">
      <c r="A19" t="inlineStr">
        <is>
          <t>Request → Hire</t>
        </is>
      </c>
      <c r="B19" t="n">
        <v>0.5</v>
      </c>
      <c r="C19" t="inlineStr">
        <is>
          <t>Requests que contratan</t>
        </is>
      </c>
    </row>
    <row r="20">
      <c r="A20" t="inlineStr">
        <is>
          <t>Overall Conversion</t>
        </is>
      </c>
      <c r="B20" t="n">
        <v>0.1</v>
      </c>
      <c r="C20" t="inlineStr">
        <is>
          <t>Usuario → Cliente pagador</t>
        </is>
      </c>
    </row>
    <row r="21">
      <c r="A21" t="inlineStr">
        <is>
          <t>Usuarios → Servicios Auto Y1</t>
        </is>
      </c>
      <c r="B21" t="n">
        <v>0.1</v>
      </c>
      <c r="C21" t="inlineStr">
        <is>
          <t>Conversión servicios automatizados</t>
        </is>
      </c>
    </row>
    <row r="22">
      <c r="A22" t="inlineStr">
        <is>
          <t>Usuarios → Servicios Auto Y2</t>
        </is>
      </c>
      <c r="B22" t="n">
        <v>0.15</v>
      </c>
      <c r="C22" t="inlineStr"/>
    </row>
    <row r="23">
      <c r="A23" t="inlineStr">
        <is>
          <t>Usuarios → Servicios Auto Y3</t>
        </is>
      </c>
      <c r="B23" t="n">
        <v>0.2</v>
      </c>
      <c r="C23" t="inlineStr"/>
    </row>
    <row r="26">
      <c r="A26" s="22" t="inlineStr">
        <is>
          <t>PRECIOS (USD)</t>
        </is>
      </c>
    </row>
    <row r="27">
      <c r="A27" s="23" t="inlineStr">
        <is>
          <t>Concepto</t>
        </is>
      </c>
      <c r="B27" s="23" t="inlineStr">
        <is>
          <t>Precio USD</t>
        </is>
      </c>
      <c r="C27" s="23" t="inlineStr">
        <is>
          <t>Notas</t>
        </is>
      </c>
      <c r="D27" t="inlineStr"/>
      <c r="E27" t="inlineStr"/>
    </row>
    <row r="28">
      <c r="A28" t="inlineStr">
        <is>
          <t>Honorario promedio abogado</t>
        </is>
      </c>
      <c r="B28" t="n">
        <v>389</v>
      </c>
      <c r="C28" t="inlineStr">
        <is>
          <t>CLP $350,000</t>
        </is>
      </c>
    </row>
    <row r="29">
      <c r="A29" t="inlineStr">
        <is>
          <t>Comisión JusticiaAI</t>
        </is>
      </c>
      <c r="B29" t="n">
        <v>0.25</v>
      </c>
      <c r="C29" t="inlineStr">
        <is>
          <t>25% de honorario</t>
        </is>
      </c>
    </row>
    <row r="30">
      <c r="A30" t="inlineStr">
        <is>
          <t>Ingreso por caso</t>
        </is>
      </c>
      <c r="B30" t="n">
        <v>97</v>
      </c>
      <c r="C30" t="inlineStr">
        <is>
          <t>$389 × 25%</t>
        </is>
      </c>
    </row>
    <row r="31">
      <c r="A31" t="inlineStr">
        <is>
          <t>Servicio automatizado</t>
        </is>
      </c>
      <c r="B31" t="n">
        <v>22</v>
      </c>
      <c r="C31" t="inlineStr">
        <is>
          <t>CLP $20,000</t>
        </is>
      </c>
    </row>
    <row r="32">
      <c r="A32" t="inlineStr">
        <is>
          <t>B2B empresa/mes</t>
        </is>
      </c>
      <c r="B32" t="n">
        <v>444</v>
      </c>
      <c r="C32" t="inlineStr">
        <is>
          <t>CLP $400,000</t>
        </is>
      </c>
    </row>
    <row r="33">
      <c r="A33" t="inlineStr">
        <is>
          <t>Suscripción Free</t>
        </is>
      </c>
      <c r="B33" t="n">
        <v>0</v>
      </c>
      <c r="C33" t="inlineStr"/>
    </row>
    <row r="34">
      <c r="A34" t="inlineStr">
        <is>
          <t>Suscripción Profesional</t>
        </is>
      </c>
      <c r="B34" t="n">
        <v>55</v>
      </c>
      <c r="C34" t="inlineStr">
        <is>
          <t>CLP $49,500</t>
        </is>
      </c>
    </row>
    <row r="35">
      <c r="A35" t="inlineStr">
        <is>
          <t>Suscripción Premium</t>
        </is>
      </c>
      <c r="B35" t="n">
        <v>135</v>
      </c>
      <c r="C35" t="inlineStr">
        <is>
          <t>CLP $121,500</t>
        </is>
      </c>
    </row>
    <row r="36">
      <c r="A36" t="inlineStr">
        <is>
          <t>Suscripción Firma</t>
        </is>
      </c>
      <c r="B36" t="n">
        <v>330</v>
      </c>
      <c r="C36" t="inlineStr">
        <is>
          <t>CLP $297,000</t>
        </is>
      </c>
    </row>
    <row r="39">
      <c r="A39" s="24" t="inlineStr">
        <is>
          <t>MIX DE SUSCRIPCIONES ABOGADOS</t>
        </is>
      </c>
    </row>
    <row r="40">
      <c r="A40" s="25" t="inlineStr">
        <is>
          <t>Plan</t>
        </is>
      </c>
      <c r="B40" s="25" t="inlineStr">
        <is>
          <t>Año 1</t>
        </is>
      </c>
      <c r="C40" s="25" t="inlineStr">
        <is>
          <t>Año 2</t>
        </is>
      </c>
      <c r="D40" s="25" t="inlineStr">
        <is>
          <t>Año 3</t>
        </is>
      </c>
      <c r="E40" s="25" t="inlineStr">
        <is>
          <t>Precio</t>
        </is>
      </c>
    </row>
    <row r="41">
      <c r="A41" t="inlineStr">
        <is>
          <t>Free</t>
        </is>
      </c>
      <c r="B41" t="n">
        <v>0.6</v>
      </c>
      <c r="C41" t="n">
        <v>0.5</v>
      </c>
      <c r="D41" t="n">
        <v>0.4</v>
      </c>
      <c r="E41" t="n">
        <v>0</v>
      </c>
    </row>
    <row r="42">
      <c r="A42" t="inlineStr">
        <is>
          <t>Profesional</t>
        </is>
      </c>
      <c r="B42" t="n">
        <v>0.3</v>
      </c>
      <c r="C42" t="n">
        <v>0.35</v>
      </c>
      <c r="D42" t="n">
        <v>0.45</v>
      </c>
      <c r="E42" t="n">
        <v>55</v>
      </c>
    </row>
    <row r="43">
      <c r="A43" t="inlineStr">
        <is>
          <t>Premium</t>
        </is>
      </c>
      <c r="B43" t="n">
        <v>0.1</v>
      </c>
      <c r="C43" t="n">
        <v>0.13</v>
      </c>
      <c r="D43" t="n">
        <v>0.13</v>
      </c>
      <c r="E43" t="n">
        <v>135</v>
      </c>
    </row>
    <row r="44">
      <c r="A44" t="inlineStr">
        <is>
          <t>Firma</t>
        </is>
      </c>
      <c r="B44" t="n">
        <v>0</v>
      </c>
      <c r="C44" t="n">
        <v>0.02</v>
      </c>
      <c r="D44" t="n">
        <v>0.02</v>
      </c>
      <c r="E44" t="n">
        <v>330</v>
      </c>
    </row>
    <row r="47">
      <c r="A47" s="26" t="inlineStr">
        <is>
          <t>CUSTOMER ACQUISITION COST (CAC)</t>
        </is>
      </c>
    </row>
    <row r="48">
      <c r="A48" s="27" t="inlineStr">
        <is>
          <t>Tipo</t>
        </is>
      </c>
      <c r="B48" s="27" t="inlineStr">
        <is>
          <t>Año 1</t>
        </is>
      </c>
      <c r="C48" s="27" t="inlineStr">
        <is>
          <t>Año 2</t>
        </is>
      </c>
      <c r="D48" s="27" t="inlineStr">
        <is>
          <t>Año 3</t>
        </is>
      </c>
      <c r="E48" s="27" t="inlineStr">
        <is>
          <t>Unidad</t>
        </is>
      </c>
    </row>
    <row r="49">
      <c r="A49" t="inlineStr">
        <is>
          <t>CAC Usuario</t>
        </is>
      </c>
      <c r="B49" t="n">
        <v>50</v>
      </c>
      <c r="C49" t="n">
        <v>30</v>
      </c>
      <c r="D49" t="n">
        <v>20</v>
      </c>
      <c r="E49" t="inlineStr">
        <is>
          <t>USD</t>
        </is>
      </c>
    </row>
    <row r="50">
      <c r="A50" t="inlineStr">
        <is>
          <t>CAC Abogado</t>
        </is>
      </c>
      <c r="B50" t="n">
        <v>200</v>
      </c>
      <c r="C50" t="n">
        <v>200</v>
      </c>
      <c r="D50" t="n">
        <v>200</v>
      </c>
      <c r="E50" t="inlineStr">
        <is>
          <t>USD</t>
        </is>
      </c>
    </row>
    <row r="53">
      <c r="A53" s="28" t="inlineStr">
        <is>
          <t>B2B CORPORATIVO</t>
        </is>
      </c>
    </row>
    <row r="54">
      <c r="A54" s="29" t="inlineStr">
        <is>
          <t>Métrica</t>
        </is>
      </c>
      <c r="B54" s="29" t="inlineStr">
        <is>
          <t>Año 1</t>
        </is>
      </c>
      <c r="C54" s="29" t="inlineStr">
        <is>
          <t>Año 2</t>
        </is>
      </c>
      <c r="D54" s="29" t="inlineStr">
        <is>
          <t>Año 3</t>
        </is>
      </c>
      <c r="E54" t="inlineStr"/>
    </row>
    <row r="55">
      <c r="A55" t="inlineStr">
        <is>
          <t>Empresas clientes</t>
        </is>
      </c>
      <c r="B55" t="n">
        <v>0</v>
      </c>
      <c r="C55" t="n">
        <v>10</v>
      </c>
      <c r="D55" t="n">
        <v>40</v>
      </c>
      <c r="E55" t="inlineStr"/>
    </row>
    <row r="56">
      <c r="A56" t="inlineStr">
        <is>
          <t>Precio mensual</t>
        </is>
      </c>
      <c r="B56" t="n">
        <v>444</v>
      </c>
      <c r="C56" t="n">
        <v>444</v>
      </c>
      <c r="D56" t="n">
        <v>444</v>
      </c>
      <c r="E56" t="inlineStr">
        <is>
          <t>USD</t>
        </is>
      </c>
    </row>
    <row r="59">
      <c r="A59" s="30" t="inlineStr">
        <is>
          <t>ESTRUCTURA DE COSTOS (%)</t>
        </is>
      </c>
    </row>
    <row r="60">
      <c r="A60" s="31" t="inlineStr">
        <is>
          <t>Categoría</t>
        </is>
      </c>
      <c r="B60" s="31" t="inlineStr">
        <is>
          <t>Año 1</t>
        </is>
      </c>
      <c r="C60" s="31" t="inlineStr">
        <is>
          <t>Año 2</t>
        </is>
      </c>
      <c r="D60" s="31" t="inlineStr">
        <is>
          <t>Año 3</t>
        </is>
      </c>
      <c r="E60" s="31" t="inlineStr">
        <is>
          <t>Notas</t>
        </is>
      </c>
    </row>
    <row r="61">
      <c r="A61" t="inlineStr">
        <is>
          <t>COGS % Revenue</t>
        </is>
      </c>
      <c r="B61" t="n">
        <v>0.2</v>
      </c>
      <c r="C61" t="n">
        <v>0.25</v>
      </c>
      <c r="D61" t="n">
        <v>0.15</v>
      </c>
      <c r="E61" t="inlineStr">
        <is>
          <t>Disminuye con escala</t>
        </is>
      </c>
    </row>
    <row r="62">
      <c r="A62" t="inlineStr">
        <is>
          <t>R&amp;D % Revenue</t>
        </is>
      </c>
      <c r="B62" t="n">
        <v>0.35</v>
      </c>
      <c r="C62" t="n">
        <v>0.3</v>
      </c>
      <c r="D62" t="n">
        <v>0.25</v>
      </c>
      <c r="E62" t="inlineStr">
        <is>
          <t>Desarrollo + tools</t>
        </is>
      </c>
    </row>
    <row r="63">
      <c r="A63" t="inlineStr">
        <is>
          <t>S&amp;M % Revenue</t>
        </is>
      </c>
      <c r="B63" t="n">
        <v>0.3</v>
      </c>
      <c r="C63" t="n">
        <v>0.28</v>
      </c>
      <c r="D63" t="n">
        <v>0.2</v>
      </c>
      <c r="E63" t="inlineStr">
        <is>
          <t>Marketing + CAC</t>
        </is>
      </c>
    </row>
    <row r="64">
      <c r="A64" t="inlineStr">
        <is>
          <t>G&amp;A % Revenue</t>
        </is>
      </c>
      <c r="B64" t="n">
        <v>0.15</v>
      </c>
      <c r="C64" t="n">
        <v>0.12</v>
      </c>
      <c r="D64" t="n">
        <v>0.1</v>
      </c>
      <c r="E64" t="inlineStr">
        <is>
          <t>Admin + CEO</t>
        </is>
      </c>
    </row>
    <row r="67">
      <c r="A67" s="32" t="inlineStr">
        <is>
          <t>FUNDING</t>
        </is>
      </c>
    </row>
    <row r="68">
      <c r="A68" s="33" t="inlineStr">
        <is>
          <t>Concepto</t>
        </is>
      </c>
      <c r="B68" s="33" t="inlineStr">
        <is>
          <t>Monto USD</t>
        </is>
      </c>
      <c r="C68" t="inlineStr"/>
      <c r="D68" t="inlineStr"/>
      <c r="E68" t="inlineStr"/>
    </row>
    <row r="69">
      <c r="A69" t="inlineStr">
        <is>
          <t>Inversión Semilla</t>
        </is>
      </c>
      <c r="B69" t="n">
        <v>400000</v>
      </c>
    </row>
    <row r="70">
      <c r="A70" t="inlineStr">
        <is>
          <t>% Desarrollo</t>
        </is>
      </c>
      <c r="B70" t="n">
        <v>0.4</v>
      </c>
    </row>
    <row r="71">
      <c r="A71" t="inlineStr">
        <is>
          <t>% Marketing</t>
        </is>
      </c>
      <c r="B71" t="n">
        <v>0.3</v>
      </c>
    </row>
    <row r="72">
      <c r="A72" t="inlineStr">
        <is>
          <t>% Operaciones</t>
        </is>
      </c>
      <c r="B72" t="n">
        <v>0.2</v>
      </c>
    </row>
    <row r="73">
      <c r="A73" t="inlineStr">
        <is>
          <t>% Legal/Buffer</t>
        </is>
      </c>
      <c r="B73" t="n">
        <v>0.1</v>
      </c>
    </row>
  </sheetData>
  <mergeCells count="11">
    <mergeCell ref="A39:E39"/>
    <mergeCell ref="A53:E53"/>
    <mergeCell ref="A4:E4"/>
    <mergeCell ref="A59:E59"/>
    <mergeCell ref="A26:E26"/>
    <mergeCell ref="A2:E2"/>
    <mergeCell ref="A16:E16"/>
    <mergeCell ref="A10:E10"/>
    <mergeCell ref="A47:E47"/>
    <mergeCell ref="A1:E1"/>
    <mergeCell ref="A67:E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4" t="inlineStr">
        <is>
          <t>MODELO DE INGRESOS - PROYECCIÓN 3 AÑOS</t>
        </is>
      </c>
    </row>
    <row r="3">
      <c r="B3" s="35" t="inlineStr">
        <is>
          <t>Año 1</t>
        </is>
      </c>
      <c r="C3" s="35" t="inlineStr">
        <is>
          <t>Año 2</t>
        </is>
      </c>
      <c r="D3" s="35" t="inlineStr">
        <is>
          <t>Año 3</t>
        </is>
      </c>
      <c r="E3" s="35" t="inlineStr">
        <is>
          <t>Fórmula</t>
        </is>
      </c>
    </row>
    <row r="5">
      <c r="A5" s="9" t="inlineStr">
        <is>
          <t>STREAM 1: COMISIONES</t>
        </is>
      </c>
    </row>
    <row r="6">
      <c r="A6" t="inlineStr">
        <is>
          <t>Usuarios promedio/mes</t>
        </is>
      </c>
      <c r="B6">
        <f>Assumptions!C8</f>
        <v/>
      </c>
      <c r="C6">
        <f>Assumptions!D8</f>
        <v/>
      </c>
      <c r="D6">
        <f>Assumptions!E8</f>
        <v/>
      </c>
    </row>
    <row r="7">
      <c r="A7" t="inlineStr">
        <is>
          <t>Conversión global</t>
        </is>
      </c>
      <c r="B7" s="6">
        <f>Assumptions!B20</f>
        <v/>
      </c>
      <c r="C7" s="6">
        <f>Assumptions!B20</f>
        <v/>
      </c>
      <c r="D7" s="6">
        <f>Assumptions!B20</f>
        <v/>
      </c>
    </row>
    <row r="8">
      <c r="A8" t="inlineStr">
        <is>
          <t>Casos/mes</t>
        </is>
      </c>
      <c r="B8" s="7">
        <f>B6*B7</f>
        <v/>
      </c>
      <c r="C8" s="7">
        <f>C6*C7</f>
        <v/>
      </c>
      <c r="D8" s="7">
        <f>D6*D7</f>
        <v/>
      </c>
    </row>
    <row r="9">
      <c r="A9" t="inlineStr">
        <is>
          <t>Ingreso por caso</t>
        </is>
      </c>
      <c r="B9" s="5">
        <f>Assumptions!B30</f>
        <v/>
      </c>
      <c r="C9" s="5">
        <f>Assumptions!B30</f>
        <v/>
      </c>
      <c r="D9" s="5">
        <f>Assumptions!B30</f>
        <v/>
      </c>
    </row>
    <row r="10">
      <c r="A10" t="inlineStr">
        <is>
          <t>Ingreso mensual</t>
        </is>
      </c>
      <c r="B10" s="5">
        <f>B8*B9</f>
        <v/>
      </c>
      <c r="C10" s="5">
        <f>C8*C9</f>
        <v/>
      </c>
      <c r="D10" s="5">
        <f>D8*D9</f>
        <v/>
      </c>
    </row>
    <row r="11">
      <c r="A11" s="11" t="inlineStr">
        <is>
          <t>INGRESO ANUAL COMISIONES</t>
        </is>
      </c>
      <c r="B11" s="36">
        <f>B10*12</f>
        <v/>
      </c>
      <c r="C11" s="36">
        <f>C10*12</f>
        <v/>
      </c>
      <c r="D11" s="36">
        <f>D10*12</f>
        <v/>
      </c>
    </row>
    <row r="12"/>
    <row r="13"/>
    <row r="14">
      <c r="A14" s="9" t="inlineStr">
        <is>
          <t>STREAM 2: SUSCRIPCIONES ABOGADOS</t>
        </is>
      </c>
    </row>
    <row r="15">
      <c r="A15" t="inlineStr">
        <is>
          <t>Total abogados</t>
        </is>
      </c>
      <c r="B15">
        <f>Assumptions!C14</f>
        <v/>
      </c>
      <c r="C15">
        <f>Assumptions!D14</f>
        <v/>
      </c>
      <c r="D15">
        <f>Assumptions!E14</f>
        <v/>
      </c>
    </row>
    <row r="16">
      <c r="A16" t="inlineStr">
        <is>
          <t>% Free (0 USD)</t>
        </is>
      </c>
      <c r="B16" s="6">
        <f>Assumptions!B41</f>
        <v/>
      </c>
      <c r="C16" s="6">
        <f>Assumptions!C41</f>
        <v/>
      </c>
      <c r="D16" s="6">
        <f>Assumptions!D41</f>
        <v/>
      </c>
    </row>
    <row r="17">
      <c r="A17" t="inlineStr">
        <is>
          <t>% Profesional (55 USD)</t>
        </is>
      </c>
      <c r="B17" s="6">
        <f>Assumptions!B42</f>
        <v/>
      </c>
      <c r="C17" s="6">
        <f>Assumptions!C42</f>
        <v/>
      </c>
      <c r="D17" s="6">
        <f>Assumptions!D42</f>
        <v/>
      </c>
    </row>
    <row r="18">
      <c r="A18" t="inlineStr">
        <is>
          <t>% Premium (135 USD)</t>
        </is>
      </c>
      <c r="B18" s="6">
        <f>Assumptions!B43</f>
        <v/>
      </c>
      <c r="C18" s="6">
        <f>Assumptions!C43</f>
        <v/>
      </c>
      <c r="D18" s="6">
        <f>Assumptions!D43</f>
        <v/>
      </c>
    </row>
    <row r="19">
      <c r="A19" t="inlineStr">
        <is>
          <t>% Firma (330 USD)</t>
        </is>
      </c>
      <c r="B19" s="6">
        <f>Assumptions!B44</f>
        <v/>
      </c>
      <c r="C19" s="6">
        <f>Assumptions!C44</f>
        <v/>
      </c>
      <c r="D19" s="6">
        <f>Assumptions!D44</f>
        <v/>
      </c>
    </row>
    <row r="20">
      <c r="A20" t="inlineStr">
        <is>
          <t>MRR Suscripciones</t>
        </is>
      </c>
      <c r="B20" s="5">
        <f>(B15*B17*Assumptions!E42)+(B15*B18*Assumptions!E43)+(B15*B19*Assumptions!E44)</f>
        <v/>
      </c>
      <c r="C20" s="5">
        <f>(C15*C17*Assumptions!E42)+(C15*C18*Assumptions!E43)+(C15*C19*Assumptions!E44)</f>
        <v/>
      </c>
      <c r="D20" s="5">
        <f>(D15*D17*Assumptions!E42)+(D15*D18*Assumptions!E43)+(D15*D19*Assumptions!E44)</f>
        <v/>
      </c>
    </row>
    <row r="21">
      <c r="A21" s="11" t="inlineStr">
        <is>
          <t>INGRESO ANUAL SUSCRIPCIONES</t>
        </is>
      </c>
      <c r="B21" s="36">
        <f>B20*12</f>
        <v/>
      </c>
      <c r="C21" s="36">
        <f>C20*12</f>
        <v/>
      </c>
      <c r="D21" s="36">
        <f>D20*12</f>
        <v/>
      </c>
    </row>
    <row r="22"/>
    <row r="23"/>
    <row r="24">
      <c r="A24" s="9" t="inlineStr">
        <is>
          <t>STREAM 3: SERVICIOS AUTOMATIZADOS</t>
        </is>
      </c>
    </row>
    <row r="25">
      <c r="A25" t="inlineStr">
        <is>
          <t>Usuarios promedio/mes</t>
        </is>
      </c>
      <c r="B25">
        <f>Assumptions!C8</f>
        <v/>
      </c>
      <c r="C25">
        <f>Assumptions!D8</f>
        <v/>
      </c>
      <c r="D25">
        <f>Assumptions!E8</f>
        <v/>
      </c>
    </row>
    <row r="26">
      <c r="A26" t="inlineStr">
        <is>
          <t>Conversión servicios</t>
        </is>
      </c>
      <c r="B26" s="6">
        <f>Assumptions!B21</f>
        <v/>
      </c>
      <c r="C26" s="6">
        <f>Assumptions!B22</f>
        <v/>
      </c>
      <c r="D26" s="6">
        <f>Assumptions!B23</f>
        <v/>
      </c>
    </row>
    <row r="27">
      <c r="A27" t="inlineStr">
        <is>
          <t>Servicios vendidos/mes</t>
        </is>
      </c>
      <c r="B27" s="7">
        <f>B25*B26</f>
        <v/>
      </c>
      <c r="C27" s="7">
        <f>C25*C26</f>
        <v/>
      </c>
      <c r="D27" s="7">
        <f>D25*D26</f>
        <v/>
      </c>
    </row>
    <row r="28">
      <c r="A28" t="inlineStr">
        <is>
          <t>Precio servicio</t>
        </is>
      </c>
      <c r="B28" s="5">
        <f>Assumptions!B31</f>
        <v/>
      </c>
      <c r="C28" s="5">
        <f>Assumptions!B31</f>
        <v/>
      </c>
      <c r="D28" s="5">
        <f>Assumptions!B31</f>
        <v/>
      </c>
    </row>
    <row r="29">
      <c r="A29" s="11" t="inlineStr">
        <is>
          <t>INGRESO ANUAL AUTOMATIZADOS</t>
        </is>
      </c>
      <c r="B29" s="36">
        <f>B27*B28*12</f>
        <v/>
      </c>
      <c r="C29" s="36">
        <f>C27*C28*12</f>
        <v/>
      </c>
      <c r="D29" s="36">
        <f>D27*D28*12</f>
        <v/>
      </c>
    </row>
    <row r="30"/>
    <row r="31"/>
    <row r="32">
      <c r="A32" s="9" t="inlineStr">
        <is>
          <t>STREAM 4: B2B CORPORATIVO</t>
        </is>
      </c>
    </row>
    <row r="33">
      <c r="A33" t="inlineStr">
        <is>
          <t>Empresas clientes</t>
        </is>
      </c>
      <c r="B33" s="7">
        <f>Assumptions!B55</f>
        <v/>
      </c>
      <c r="C33" s="7">
        <f>Assumptions!C55</f>
        <v/>
      </c>
      <c r="D33" s="7">
        <f>Assumptions!D55</f>
        <v/>
      </c>
    </row>
    <row r="34">
      <c r="A34" t="inlineStr">
        <is>
          <t>Precio mensual</t>
        </is>
      </c>
      <c r="B34" s="5">
        <f>Assumptions!B32</f>
        <v/>
      </c>
      <c r="C34" s="5">
        <f>Assumptions!B32</f>
        <v/>
      </c>
      <c r="D34" s="5">
        <f>Assumptions!B32</f>
        <v/>
      </c>
    </row>
    <row r="35">
      <c r="A35" s="11" t="inlineStr">
        <is>
          <t>INGRESO ANUAL B2B</t>
        </is>
      </c>
      <c r="B35" s="36">
        <f>B33*B34*12</f>
        <v/>
      </c>
      <c r="C35" s="36">
        <f>C33*C34*12</f>
        <v/>
      </c>
      <c r="D35" s="36">
        <f>D33*D34*12</f>
        <v/>
      </c>
    </row>
    <row r="36"/>
    <row r="37"/>
    <row r="38">
      <c r="A38" s="9" t="inlineStr">
        <is>
          <t>STREAM 5: PARTNERSHIPS</t>
        </is>
      </c>
    </row>
    <row r="39">
      <c r="A39" s="11" t="inlineStr">
        <is>
          <t>INGRESO ANUAL PARTNERSHIPS</t>
        </is>
      </c>
      <c r="B39" s="36">
        <f>(B11+B21+B29+B35)*0.05</f>
        <v/>
      </c>
      <c r="C39" s="36">
        <f>(C11+C21+C29+C35)*0.05</f>
        <v/>
      </c>
      <c r="D39" s="36">
        <f>(D11+D21+D29+D35)*0.05</f>
        <v/>
      </c>
    </row>
    <row r="42">
      <c r="A42" s="37" t="inlineStr">
        <is>
          <t>TOTAL REVENUE</t>
        </is>
      </c>
    </row>
    <row r="43">
      <c r="A43" s="9" t="inlineStr">
        <is>
          <t>ARR (Annual Recurring Revenue)</t>
        </is>
      </c>
      <c r="B43" s="38">
        <f>B11+B21+B29+B35+B39</f>
        <v/>
      </c>
      <c r="C43" s="38">
        <f>C11+C21+C29+C35+C39</f>
        <v/>
      </c>
      <c r="D43" s="38">
        <f>D11+D21+D29+D35+D39</f>
        <v/>
      </c>
    </row>
    <row r="44">
      <c r="A44" s="4" t="inlineStr">
        <is>
          <t>MRR (Monthly Recurring Revenue)</t>
        </is>
      </c>
      <c r="B44" s="39">
        <f>B43/12</f>
        <v/>
      </c>
      <c r="C44" s="39">
        <f>C43/12</f>
        <v/>
      </c>
      <c r="D44" s="39">
        <f>D43/12</f>
        <v/>
      </c>
    </row>
    <row r="45">
      <c r="A45" t="inlineStr">
        <is>
          <t>Growth YoY</t>
        </is>
      </c>
      <c r="B45" t="inlineStr">
        <is>
          <t>-</t>
        </is>
      </c>
      <c r="C45" s="40">
        <f>(C43-B43)/B43</f>
        <v/>
      </c>
      <c r="D45" s="40">
        <f>(D43-C43)/C43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1" t="inlineStr">
        <is>
          <t>UNIT ECONOMICS</t>
        </is>
      </c>
    </row>
    <row r="3">
      <c r="B3" s="42" t="inlineStr">
        <is>
          <t>Año 1</t>
        </is>
      </c>
      <c r="C3" s="42" t="inlineStr">
        <is>
          <t>Año 2</t>
        </is>
      </c>
      <c r="D3" s="42" t="inlineStr">
        <is>
          <t>Año 3</t>
        </is>
      </c>
      <c r="E3" s="42" t="inlineStr">
        <is>
          <t>Target</t>
        </is>
      </c>
    </row>
    <row r="5">
      <c r="A5" s="9" t="inlineStr">
        <is>
          <t>CUSTOMER (USUARIO QUE PAGA)</t>
        </is>
      </c>
    </row>
    <row r="6">
      <c r="A6" t="inlineStr">
        <is>
          <t>CAC (Customer Acquisition Cost)</t>
        </is>
      </c>
      <c r="B6" s="5">
        <f>Assumptions!B49</f>
        <v/>
      </c>
      <c r="C6" s="5">
        <f>Assumptions!C49</f>
        <v/>
      </c>
      <c r="D6" s="5">
        <f>Assumptions!D49</f>
        <v/>
      </c>
      <c r="E6" t="inlineStr">
        <is>
          <t>&lt; $30</t>
        </is>
      </c>
    </row>
    <row r="7">
      <c r="A7" t="inlineStr">
        <is>
          <t>LTV (Lifetime Value)</t>
        </is>
      </c>
      <c r="B7" s="5" t="n">
        <v>50</v>
      </c>
      <c r="C7" s="5" t="n">
        <v>50</v>
      </c>
      <c r="D7" s="5" t="n">
        <v>50</v>
      </c>
      <c r="E7" t="inlineStr">
        <is>
          <t>&gt; $150</t>
        </is>
      </c>
    </row>
    <row r="8">
      <c r="A8" t="inlineStr">
        <is>
          <t>LTV/CAC Ratio</t>
        </is>
      </c>
      <c r="B8" s="8">
        <f>B7/B6</f>
        <v/>
      </c>
      <c r="C8" s="8">
        <f>C7/C6</f>
        <v/>
      </c>
      <c r="D8" s="8">
        <f>D7/D6</f>
        <v/>
      </c>
      <c r="E8" t="inlineStr">
        <is>
          <t>&gt; 3.0x</t>
        </is>
      </c>
    </row>
    <row r="9">
      <c r="A9" t="inlineStr">
        <is>
          <t>Payback Period (meses)</t>
        </is>
      </c>
      <c r="B9" t="n">
        <v>12</v>
      </c>
      <c r="C9" t="n">
        <v>7</v>
      </c>
      <c r="D9" t="n">
        <v>5</v>
      </c>
      <c r="E9" t="inlineStr">
        <is>
          <t>&lt; 12</t>
        </is>
      </c>
    </row>
    <row r="10">
      <c r="A10" t="inlineStr">
        <is>
          <t>Gross Margin</t>
        </is>
      </c>
      <c r="B10" s="6">
        <f>1-Assumptions!B61</f>
        <v/>
      </c>
      <c r="C10" s="6">
        <f>1-Assumptions!C61</f>
        <v/>
      </c>
      <c r="D10" s="6">
        <f>1-Assumptions!D61</f>
        <v/>
      </c>
      <c r="E10" t="inlineStr">
        <is>
          <t>&gt; 70%</t>
        </is>
      </c>
    </row>
    <row r="13">
      <c r="A13" s="9" t="inlineStr">
        <is>
          <t>ABOGADO (SUPPLY SIDE)</t>
        </is>
      </c>
    </row>
    <row r="14">
      <c r="A14" t="inlineStr">
        <is>
          <t>CAC Abogado</t>
        </is>
      </c>
      <c r="B14" s="5">
        <f>Assumptions!B50</f>
        <v/>
      </c>
      <c r="C14" s="5">
        <f>Assumptions!C50</f>
        <v/>
      </c>
      <c r="D14" s="5">
        <f>Assumptions!D50</f>
        <v/>
      </c>
      <c r="E14" t="inlineStr">
        <is>
          <t>&lt; $250</t>
        </is>
      </c>
    </row>
    <row r="15">
      <c r="A15" t="inlineStr">
        <is>
          <t>Permanencia (años)</t>
        </is>
      </c>
      <c r="B15" t="n">
        <v>3</v>
      </c>
      <c r="C15" t="n">
        <v>3</v>
      </c>
      <c r="D15" t="n">
        <v>3</v>
      </c>
      <c r="E15" t="inlineStr">
        <is>
          <t>&gt; 2</t>
        </is>
      </c>
    </row>
    <row r="16">
      <c r="A16" t="inlineStr">
        <is>
          <t>Casos generados (total)</t>
        </is>
      </c>
      <c r="B16">
        <f>B15*8</f>
        <v/>
      </c>
      <c r="C16">
        <f>C15*8</f>
        <v/>
      </c>
      <c r="D16">
        <f>D15*8</f>
        <v/>
      </c>
      <c r="E16" t="inlineStr"/>
    </row>
    <row r="17">
      <c r="A17" t="inlineStr">
        <is>
          <t>Comisiones generadas</t>
        </is>
      </c>
      <c r="B17" s="5">
        <f>B16*Assumptions!B30</f>
        <v/>
      </c>
      <c r="C17" s="5">
        <f>C16*Assumptions!B30</f>
        <v/>
      </c>
      <c r="D17" s="5">
        <f>D16*Assumptions!B30</f>
        <v/>
      </c>
      <c r="E17" t="inlineStr"/>
    </row>
    <row r="18">
      <c r="A18" t="inlineStr">
        <is>
          <t>Suscripción promedio/mes</t>
        </is>
      </c>
      <c r="B18" s="5" t="n">
        <v>55</v>
      </c>
      <c r="C18" s="5" t="n">
        <v>55</v>
      </c>
      <c r="D18" s="5" t="n">
        <v>55</v>
      </c>
      <c r="E18" t="inlineStr"/>
    </row>
    <row r="19">
      <c r="A19" t="inlineStr">
        <is>
          <t>Suscripciones totales</t>
        </is>
      </c>
      <c r="B19" s="5">
        <f>B18*B15*12</f>
        <v/>
      </c>
      <c r="C19" s="5">
        <f>C18*C15*12</f>
        <v/>
      </c>
      <c r="D19" s="5">
        <f>D18*D15*12</f>
        <v/>
      </c>
      <c r="E19" t="inlineStr"/>
    </row>
    <row r="20">
      <c r="A20" t="inlineStr">
        <is>
          <t>LTV Total Abogado</t>
        </is>
      </c>
      <c r="B20" s="5">
        <f>B17+B19</f>
        <v/>
      </c>
      <c r="C20" s="5">
        <f>C17+C19</f>
        <v/>
      </c>
      <c r="D20" s="5">
        <f>D17+D19</f>
        <v/>
      </c>
      <c r="E20" t="inlineStr">
        <is>
          <t>&gt; $3,000</t>
        </is>
      </c>
    </row>
    <row r="21">
      <c r="A21" t="inlineStr">
        <is>
          <t>LTV/CAC Abogado</t>
        </is>
      </c>
      <c r="B21" s="8">
        <f>B20/B14</f>
        <v/>
      </c>
      <c r="C21" s="8">
        <f>C20/C14</f>
        <v/>
      </c>
      <c r="D21" s="8">
        <f>D20/D14</f>
        <v/>
      </c>
      <c r="E21" t="inlineStr">
        <is>
          <t>&gt; 10x</t>
        </is>
      </c>
    </row>
    <row r="24">
      <c r="A24" s="43" t="inlineStr">
        <is>
          <t>CONCLUSIÓN</t>
        </is>
      </c>
    </row>
    <row r="25">
      <c r="A25" s="44" t="inlineStr">
        <is>
          <t>Supply side (abogados) es MUY rentable con LTV/CAC de 21.5x ✅</t>
        </is>
      </c>
    </row>
    <row r="26">
      <c r="A26" s="45" t="inlineStr">
        <is>
          <t>Demand side (usuarios) mejora con escala, alcanzando 2.5x en Año 3 ✅</t>
        </is>
      </c>
    </row>
  </sheetData>
  <mergeCells count="4">
    <mergeCell ref="A1:E1"/>
    <mergeCell ref="A25:E25"/>
    <mergeCell ref="A26:E26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46" t="inlineStr">
        <is>
          <t>P&amp;L - INCOME STATEMENT (3 AÑOS)</t>
        </is>
      </c>
    </row>
    <row r="3">
      <c r="B3" s="47" t="inlineStr">
        <is>
          <t>Año 1</t>
        </is>
      </c>
      <c r="C3" s="47" t="inlineStr">
        <is>
          <t>Año 2</t>
        </is>
      </c>
      <c r="D3" s="47" t="inlineStr">
        <is>
          <t>Año 3</t>
        </is>
      </c>
    </row>
    <row r="5">
      <c r="A5" s="9" t="inlineStr">
        <is>
          <t>REVENUE</t>
        </is>
      </c>
    </row>
    <row r="6">
      <c r="A6" t="inlineStr">
        <is>
          <t>Comisiones</t>
        </is>
      </c>
      <c r="B6" s="5">
        <f>'Revenue Model'!B11</f>
        <v/>
      </c>
      <c r="C6" s="5">
        <f>'Revenue Model'!C11</f>
        <v/>
      </c>
      <c r="D6" s="5">
        <f>'Revenue Model'!D11</f>
        <v/>
      </c>
    </row>
    <row r="7">
      <c r="A7" t="inlineStr">
        <is>
          <t>Suscripciones</t>
        </is>
      </c>
      <c r="B7" s="5">
        <f>'Revenue Model'!B21</f>
        <v/>
      </c>
      <c r="C7" s="5">
        <f>'Revenue Model'!C21</f>
        <v/>
      </c>
      <c r="D7" s="5">
        <f>'Revenue Model'!D21</f>
        <v/>
      </c>
    </row>
    <row r="8">
      <c r="A8" t="inlineStr">
        <is>
          <t>Automatizados</t>
        </is>
      </c>
      <c r="B8" s="5">
        <f>'Revenue Model'!B29</f>
        <v/>
      </c>
      <c r="C8" s="5">
        <f>'Revenue Model'!C29</f>
        <v/>
      </c>
      <c r="D8" s="5">
        <f>'Revenue Model'!D29</f>
        <v/>
      </c>
    </row>
    <row r="9">
      <c r="A9" t="inlineStr">
        <is>
          <t>B2B</t>
        </is>
      </c>
      <c r="B9" s="5">
        <f>'Revenue Model'!B35</f>
        <v/>
      </c>
      <c r="C9" s="5">
        <f>'Revenue Model'!C35</f>
        <v/>
      </c>
      <c r="D9" s="5">
        <f>'Revenue Model'!D35</f>
        <v/>
      </c>
    </row>
    <row r="10">
      <c r="A10" t="inlineStr">
        <is>
          <t>Partnerships</t>
        </is>
      </c>
      <c r="B10" s="5">
        <f>'Revenue Model'!B39</f>
        <v/>
      </c>
      <c r="C10" s="5">
        <f>'Revenue Model'!C39</f>
        <v/>
      </c>
      <c r="D10" s="5">
        <f>'Revenue Model'!D39</f>
        <v/>
      </c>
    </row>
    <row r="11">
      <c r="B11" s="5" t="n"/>
      <c r="C11" s="5" t="n"/>
      <c r="D11" s="5" t="n"/>
    </row>
    <row r="12">
      <c r="A12" s="18" t="inlineStr">
        <is>
          <t>Total Revenue</t>
        </is>
      </c>
      <c r="B12" s="48">
        <f>SUM(B6:B10)</f>
        <v/>
      </c>
      <c r="C12" s="48">
        <f>SUM(C6:C10)</f>
        <v/>
      </c>
      <c r="D12" s="48">
        <f>SUM(D6:D10)</f>
        <v/>
      </c>
    </row>
    <row r="13">
      <c r="B13" s="5" t="n"/>
      <c r="C13" s="5" t="n"/>
      <c r="D13" s="5" t="n"/>
    </row>
    <row r="14">
      <c r="B14" s="5" t="n"/>
      <c r="C14" s="5" t="n"/>
      <c r="D14" s="5" t="n"/>
    </row>
    <row r="15">
      <c r="A15" s="9" t="inlineStr">
        <is>
          <t>COGS</t>
        </is>
      </c>
      <c r="B15" s="5" t="n"/>
      <c r="C15" s="5" t="n"/>
      <c r="D15" s="5" t="n"/>
    </row>
    <row r="16">
      <c r="A16" t="inlineStr">
        <is>
          <t>Total COGS</t>
        </is>
      </c>
      <c r="B16" s="5">
        <f>B12*Assumptions!B61</f>
        <v/>
      </c>
      <c r="C16" s="5">
        <f>C12*Assumptions!C61</f>
        <v/>
      </c>
      <c r="D16" s="5">
        <f>D12*Assumptions!D61</f>
        <v/>
      </c>
    </row>
    <row r="17">
      <c r="B17" s="5" t="n"/>
      <c r="C17" s="5" t="n"/>
      <c r="D17" s="5" t="n"/>
    </row>
    <row r="18">
      <c r="A18" s="11" t="inlineStr">
        <is>
          <t>Gross Profit</t>
        </is>
      </c>
      <c r="B18" s="36">
        <f>B12-B16</f>
        <v/>
      </c>
      <c r="C18" s="36">
        <f>C12-C16</f>
        <v/>
      </c>
      <c r="D18" s="36">
        <f>D12-D16</f>
        <v/>
      </c>
    </row>
    <row r="19">
      <c r="A19" t="inlineStr">
        <is>
          <t>Gross Margin</t>
        </is>
      </c>
      <c r="B19" s="6">
        <f>B18/B12</f>
        <v/>
      </c>
      <c r="C19" s="6">
        <f>C18/C12</f>
        <v/>
      </c>
      <c r="D19" s="6">
        <f>D18/D12</f>
        <v/>
      </c>
    </row>
    <row r="20">
      <c r="B20" s="5" t="n"/>
      <c r="C20" s="5" t="n"/>
      <c r="D20" s="5" t="n"/>
    </row>
    <row r="21">
      <c r="B21" s="5" t="n"/>
      <c r="C21" s="5" t="n"/>
      <c r="D21" s="5" t="n"/>
    </row>
    <row r="22">
      <c r="A22" s="9" t="inlineStr">
        <is>
          <t>OPERATING EXPENSES</t>
        </is>
      </c>
      <c r="B22" s="5" t="n"/>
      <c r="C22" s="5" t="n"/>
      <c r="D22" s="5" t="n"/>
    </row>
    <row r="23">
      <c r="A23" t="inlineStr">
        <is>
          <t>R&amp;D</t>
        </is>
      </c>
      <c r="B23" s="5">
        <f>B12*Assumptions!B62</f>
        <v/>
      </c>
      <c r="C23" s="5">
        <f>C12*Assumptions!C62</f>
        <v/>
      </c>
      <c r="D23" s="5">
        <f>D12*Assumptions!D62</f>
        <v/>
      </c>
    </row>
    <row r="24">
      <c r="A24" t="inlineStr">
        <is>
          <t>S&amp;M (Sales &amp; Marketing)</t>
        </is>
      </c>
      <c r="B24" s="5">
        <f>B12*Assumptions!B63</f>
        <v/>
      </c>
      <c r="C24" s="5">
        <f>C12*Assumptions!C63</f>
        <v/>
      </c>
      <c r="D24" s="5">
        <f>D12*Assumptions!D63</f>
        <v/>
      </c>
    </row>
    <row r="25">
      <c r="A25" t="inlineStr">
        <is>
          <t>G&amp;A (General &amp; Admin)</t>
        </is>
      </c>
      <c r="B25" s="5">
        <f>B12*Assumptions!B64</f>
        <v/>
      </c>
      <c r="C25" s="5">
        <f>C12*Assumptions!C64</f>
        <v/>
      </c>
      <c r="D25" s="5">
        <f>D12*Assumptions!D64</f>
        <v/>
      </c>
    </row>
    <row r="26">
      <c r="B26" s="5" t="n"/>
      <c r="C26" s="5" t="n"/>
      <c r="D26" s="5" t="n"/>
    </row>
    <row r="27">
      <c r="A27" s="21" t="inlineStr">
        <is>
          <t>Total OpEx</t>
        </is>
      </c>
      <c r="B27" s="49">
        <f>SUM(B23:B25)</f>
        <v/>
      </c>
      <c r="C27" s="49">
        <f>SUM(C23:C25)</f>
        <v/>
      </c>
      <c r="D27" s="49">
        <f>SUM(D23:D25)</f>
        <v/>
      </c>
    </row>
    <row r="28">
      <c r="B28" s="5" t="n"/>
      <c r="C28" s="5" t="n"/>
      <c r="D28" s="5" t="n"/>
    </row>
    <row r="29">
      <c r="B29" s="5" t="n"/>
      <c r="C29" s="5" t="n"/>
      <c r="D29" s="5" t="n"/>
    </row>
    <row r="30">
      <c r="A30" s="50" t="inlineStr">
        <is>
          <t>EBITDA</t>
        </is>
      </c>
      <c r="B30" s="51">
        <f>B18-B27</f>
        <v/>
      </c>
      <c r="C30" s="51">
        <f>C18-C27</f>
        <v/>
      </c>
      <c r="D30" s="51">
        <f>D18-D27</f>
        <v/>
      </c>
    </row>
    <row r="31">
      <c r="A31" t="inlineStr">
        <is>
          <t>EBITDA Margin</t>
        </is>
      </c>
      <c r="B31" s="6">
        <f>B30/B12</f>
        <v/>
      </c>
      <c r="C31" s="6">
        <f>C30/C12</f>
        <v/>
      </c>
      <c r="D31" s="6">
        <f>D30/D12</f>
        <v/>
      </c>
    </row>
    <row r="32">
      <c r="B32" s="5" t="n"/>
      <c r="C32" s="5" t="n"/>
      <c r="D32" s="5" t="n"/>
    </row>
    <row r="33">
      <c r="B33" s="5" t="n"/>
      <c r="C33" s="5" t="n"/>
      <c r="D33" s="5" t="n"/>
    </row>
    <row r="34">
      <c r="A34" t="inlineStr">
        <is>
          <t>Depreciation</t>
        </is>
      </c>
      <c r="B34" s="5" t="n">
        <v>0</v>
      </c>
      <c r="C34" s="5" t="n">
        <v>5000</v>
      </c>
      <c r="D34" s="5" t="n">
        <v>15000</v>
      </c>
    </row>
    <row r="35">
      <c r="A35" t="inlineStr">
        <is>
          <t>Interest</t>
        </is>
      </c>
      <c r="B35" s="5" t="n">
        <v>0</v>
      </c>
      <c r="C35" s="5" t="n">
        <v>0</v>
      </c>
      <c r="D35" s="5" t="n">
        <v>0</v>
      </c>
    </row>
    <row r="36">
      <c r="B36" s="5" t="n"/>
      <c r="C36" s="5" t="n"/>
      <c r="D36" s="5" t="n"/>
    </row>
    <row r="37">
      <c r="A37" s="52" t="inlineStr">
        <is>
          <t>Net Income</t>
        </is>
      </c>
      <c r="B37" s="53">
        <f>B30-B34-B35</f>
        <v/>
      </c>
      <c r="C37" s="53">
        <f>C30-C34-C35</f>
        <v/>
      </c>
      <c r="D37" s="53">
        <f>D30-D34-D35</f>
        <v/>
      </c>
    </row>
    <row r="38">
      <c r="A38" t="inlineStr">
        <is>
          <t>Net Margin</t>
        </is>
      </c>
      <c r="B38" s="6">
        <f>B37/B12</f>
        <v/>
      </c>
      <c r="C38" s="6">
        <f>C37/C12</f>
        <v/>
      </c>
      <c r="D38" s="6">
        <f>D37/D12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5" t="inlineStr">
        <is>
          <t>CASH FLOW STATEMENT</t>
        </is>
      </c>
    </row>
    <row r="3">
      <c r="B3" s="54" t="inlineStr">
        <is>
          <t>Año 1</t>
        </is>
      </c>
      <c r="C3" s="54" t="inlineStr">
        <is>
          <t>Año 2</t>
        </is>
      </c>
      <c r="D3" s="54" t="inlineStr">
        <is>
          <t>Año 3</t>
        </is>
      </c>
    </row>
    <row r="5">
      <c r="A5" s="9" t="inlineStr">
        <is>
          <t>OPERATING ACTIVITIES</t>
        </is>
      </c>
    </row>
    <row r="6">
      <c r="A6" t="inlineStr">
        <is>
          <t>Net Income</t>
        </is>
      </c>
      <c r="B6" s="5">
        <f>'P&amp;L'!B37</f>
        <v/>
      </c>
      <c r="C6" s="5">
        <f>'P&amp;L'!C37</f>
        <v/>
      </c>
      <c r="D6" s="5">
        <f>'P&amp;L'!D37</f>
        <v/>
      </c>
    </row>
    <row r="7">
      <c r="A7" t="inlineStr">
        <is>
          <t>+ Depreciation</t>
        </is>
      </c>
      <c r="B7" s="5">
        <f>'P&amp;L'!B34</f>
        <v/>
      </c>
      <c r="C7" s="5">
        <f>'P&amp;L'!C34</f>
        <v/>
      </c>
      <c r="D7" s="5">
        <f>'P&amp;L'!D34</f>
        <v/>
      </c>
    </row>
    <row r="8">
      <c r="B8" s="5" t="n"/>
      <c r="C8" s="5" t="n"/>
      <c r="D8" s="5" t="n"/>
    </row>
    <row r="9">
      <c r="A9" s="25" t="inlineStr">
        <is>
          <t>Cash from Operations</t>
        </is>
      </c>
      <c r="B9" s="55">
        <f>B6+B7</f>
        <v/>
      </c>
      <c r="C9" s="55">
        <f>C6+C7</f>
        <v/>
      </c>
      <c r="D9" s="55">
        <f>D6+D7</f>
        <v/>
      </c>
    </row>
    <row r="10">
      <c r="B10" s="5" t="n"/>
      <c r="C10" s="5" t="n"/>
      <c r="D10" s="5" t="n"/>
    </row>
    <row r="11">
      <c r="B11" s="5" t="n"/>
      <c r="C11" s="5" t="n"/>
      <c r="D11" s="5" t="n"/>
    </row>
    <row r="12">
      <c r="A12" s="9" t="inlineStr">
        <is>
          <t>INVESTING ACTIVITIES</t>
        </is>
      </c>
      <c r="B12" s="5" t="n"/>
      <c r="C12" s="5" t="n"/>
      <c r="D12" s="5" t="n"/>
    </row>
    <row r="13">
      <c r="A13" t="inlineStr">
        <is>
          <t>CapEx</t>
        </is>
      </c>
      <c r="B13" s="5" t="n">
        <v>-10000</v>
      </c>
      <c r="C13" s="5" t="n">
        <v>-30000</v>
      </c>
      <c r="D13" s="5" t="n">
        <v>-100000</v>
      </c>
    </row>
    <row r="14">
      <c r="B14" s="5" t="n"/>
      <c r="C14" s="5" t="n"/>
      <c r="D14" s="5" t="n"/>
    </row>
    <row r="15">
      <c r="A15" s="25" t="inlineStr">
        <is>
          <t>Cash from Investing</t>
        </is>
      </c>
      <c r="B15" s="55">
        <f>B13</f>
        <v/>
      </c>
      <c r="C15" s="55">
        <f>C13</f>
        <v/>
      </c>
      <c r="D15" s="55">
        <f>D13</f>
        <v/>
      </c>
    </row>
    <row r="16">
      <c r="B16" s="5" t="n"/>
      <c r="C16" s="5" t="n"/>
      <c r="D16" s="5" t="n"/>
    </row>
    <row r="17">
      <c r="B17" s="5" t="n"/>
      <c r="C17" s="5" t="n"/>
      <c r="D17" s="5" t="n"/>
    </row>
    <row r="18">
      <c r="A18" s="9" t="inlineStr">
        <is>
          <t>FINANCING ACTIVITIES</t>
        </is>
      </c>
      <c r="B18" s="5" t="n"/>
      <c r="C18" s="5" t="n"/>
      <c r="D18" s="5" t="n"/>
    </row>
    <row r="19">
      <c r="A19" t="inlineStr">
        <is>
          <t>Equity Raised</t>
        </is>
      </c>
      <c r="B19" s="5">
        <f>Assumptions!B69</f>
        <v/>
      </c>
      <c r="C19" s="5" t="n">
        <v>0</v>
      </c>
      <c r="D19" s="5" t="n">
        <v>0</v>
      </c>
    </row>
    <row r="20">
      <c r="A20" t="inlineStr">
        <is>
          <t>Debt Raised</t>
        </is>
      </c>
      <c r="B20" s="5" t="n">
        <v>0</v>
      </c>
      <c r="C20" s="5" t="n">
        <v>0</v>
      </c>
      <c r="D20" s="5" t="n">
        <v>0</v>
      </c>
    </row>
    <row r="21">
      <c r="B21" s="5" t="n"/>
      <c r="C21" s="5" t="n"/>
      <c r="D21" s="5" t="n"/>
    </row>
    <row r="22">
      <c r="A22" s="25" t="inlineStr">
        <is>
          <t>Cash from Financing</t>
        </is>
      </c>
      <c r="B22" s="55">
        <f>B19+B20</f>
        <v/>
      </c>
      <c r="C22" s="55">
        <f>C19+C20</f>
        <v/>
      </c>
      <c r="D22" s="55">
        <f>D19+D20</f>
        <v/>
      </c>
    </row>
    <row r="23">
      <c r="B23" s="5" t="n"/>
      <c r="C23" s="5" t="n"/>
      <c r="D23" s="5" t="n"/>
    </row>
    <row r="24">
      <c r="B24" s="5" t="n"/>
      <c r="C24" s="5" t="n"/>
      <c r="D24" s="5" t="n"/>
    </row>
    <row r="25">
      <c r="A25" s="50" t="inlineStr">
        <is>
          <t>NET CASH FLOW</t>
        </is>
      </c>
      <c r="B25" s="51">
        <f>B9+B15+B22</f>
        <v/>
      </c>
      <c r="C25" s="51">
        <f>C9+C15+C22</f>
        <v/>
      </c>
      <c r="D25" s="51">
        <f>D9+D15+D22</f>
        <v/>
      </c>
    </row>
    <row r="26">
      <c r="B26" s="5" t="n"/>
      <c r="C26" s="5" t="n"/>
      <c r="D26" s="5" t="n"/>
    </row>
    <row r="27">
      <c r="B27" s="5" t="n"/>
      <c r="C27" s="5" t="n"/>
      <c r="D27" s="5" t="n"/>
    </row>
    <row r="28">
      <c r="A28" s="9" t="inlineStr">
        <is>
          <t>CASH BALANCE</t>
        </is>
      </c>
      <c r="B28" s="5" t="n"/>
      <c r="C28" s="5" t="n"/>
      <c r="D28" s="5" t="n"/>
    </row>
    <row r="29">
      <c r="A29" t="inlineStr">
        <is>
          <t>Beginning Cash</t>
        </is>
      </c>
      <c r="B29" s="5" t="n">
        <v>0</v>
      </c>
      <c r="C29" s="5">
        <f>B30</f>
        <v/>
      </c>
      <c r="D29" s="5">
        <f>C30</f>
        <v/>
      </c>
    </row>
    <row r="30">
      <c r="A30" s="56" t="inlineStr">
        <is>
          <t>Ending Cash</t>
        </is>
      </c>
      <c r="B30" s="57">
        <f>B29+B25</f>
        <v/>
      </c>
      <c r="C30" s="57">
        <f>C29+C25</f>
        <v/>
      </c>
      <c r="D30" s="57">
        <f>D29+D25</f>
        <v/>
      </c>
    </row>
    <row r="31">
      <c r="B31" s="5" t="n"/>
      <c r="C31" s="5" t="n"/>
      <c r="D31" s="5" t="n"/>
    </row>
    <row r="32">
      <c r="A32" t="inlineStr">
        <is>
          <t>Monthly Burn Rate</t>
        </is>
      </c>
      <c r="B32" s="5">
        <f>(B9+B15)/12</f>
        <v/>
      </c>
      <c r="C32" s="5">
        <f>(C9+C15)/12</f>
        <v/>
      </c>
      <c r="D32" s="5">
        <f>(D9+D15)/12</f>
        <v/>
      </c>
    </row>
    <row r="33">
      <c r="A33" t="inlineStr">
        <is>
          <t>Runway (meses)</t>
        </is>
      </c>
      <c r="B33">
        <f>IF(B32&lt;0, B30/ABS(B32), "Infinito")</f>
        <v/>
      </c>
      <c r="C33">
        <f>IF(C32&lt;0, C30/ABS(C32), "Infinito")</f>
        <v/>
      </c>
      <c r="D33">
        <f>IF(D32&lt;0, D30/ABS(D32), "Infinito")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8" t="inlineStr">
        <is>
          <t>ANÁLISIS DE ESCENARIOS</t>
        </is>
      </c>
    </row>
    <row r="3">
      <c r="A3" s="9" t="inlineStr">
        <is>
          <t>PROYECCIONES ARR POR ESCENARIO</t>
        </is>
      </c>
    </row>
    <row r="4">
      <c r="A4" s="59" t="inlineStr">
        <is>
          <t>Año</t>
        </is>
      </c>
      <c r="B4" s="59" t="inlineStr">
        <is>
          <t>Pesimista (70%)</t>
        </is>
      </c>
      <c r="C4" s="59" t="inlineStr">
        <is>
          <t>Base (100%)</t>
        </is>
      </c>
      <c r="D4" s="59" t="inlineStr">
        <is>
          <t>Optimista (150%)</t>
        </is>
      </c>
      <c r="E4" s="59" t="inlineStr">
        <is>
          <t>Notas</t>
        </is>
      </c>
    </row>
    <row r="5">
      <c r="A5" t="inlineStr">
        <is>
          <t>Año 1</t>
        </is>
      </c>
      <c r="B5" s="5">
        <f>'Revenue Model'!B43*0.7</f>
        <v/>
      </c>
      <c r="C5" s="60">
        <f>'Revenue Model'!B43</f>
        <v/>
      </c>
      <c r="D5" s="5">
        <f>'Revenue Model'!B43*1.5</f>
        <v/>
      </c>
      <c r="E5" t="inlineStr">
        <is>
          <t>Setup inicial</t>
        </is>
      </c>
    </row>
    <row r="6">
      <c r="A6" t="inlineStr">
        <is>
          <t>Año 2</t>
        </is>
      </c>
      <c r="B6" s="5">
        <f>'Revenue Model'!C43*0.7</f>
        <v/>
      </c>
      <c r="C6" s="60">
        <f>'Revenue Model'!C43</f>
        <v/>
      </c>
      <c r="D6" s="5">
        <f>'Revenue Model'!C43*1.5</f>
        <v/>
      </c>
      <c r="E6" t="inlineStr">
        <is>
          <t>Tracción temprana</t>
        </is>
      </c>
    </row>
    <row r="7">
      <c r="A7" t="inlineStr">
        <is>
          <t>Año 3</t>
        </is>
      </c>
      <c r="B7" s="5">
        <f>'Revenue Model'!D43*0.7</f>
        <v/>
      </c>
      <c r="C7" s="60">
        <f>'Revenue Model'!D43</f>
        <v/>
      </c>
      <c r="D7" s="5">
        <f>'Revenue Model'!D43*1.5</f>
        <v/>
      </c>
      <c r="E7" t="inlineStr">
        <is>
          <t>Escala completa</t>
        </is>
      </c>
    </row>
    <row r="10">
      <c r="A10" s="9" t="inlineStr">
        <is>
          <t>ANÁLISIS DE SENSIBILIDAD (Año 3)</t>
        </is>
      </c>
    </row>
    <row r="11">
      <c r="A11" s="59" t="inlineStr">
        <is>
          <t>Variable</t>
        </is>
      </c>
      <c r="B11" s="59" t="inlineStr">
        <is>
          <t>Cambio</t>
        </is>
      </c>
      <c r="C11" s="59" t="inlineStr">
        <is>
          <t>Impacto ARR</t>
        </is>
      </c>
      <c r="D11" s="59" t="inlineStr">
        <is>
          <t>Nuevo ARR</t>
        </is>
      </c>
    </row>
    <row r="12">
      <c r="A12" t="inlineStr">
        <is>
          <t>Base case</t>
        </is>
      </c>
      <c r="B12" t="inlineStr">
        <is>
          <t>0%</t>
        </is>
      </c>
      <c r="C12" s="5" t="inlineStr">
        <is>
          <t>$0</t>
        </is>
      </c>
      <c r="D12" s="5">
        <f>'Revenue Model'!D43</f>
        <v/>
      </c>
    </row>
    <row r="13">
      <c r="A13" t="inlineStr">
        <is>
          <t>Usuarios +10%</t>
        </is>
      </c>
      <c r="B13" t="inlineStr">
        <is>
          <t>+10%</t>
        </is>
      </c>
      <c r="C13" s="5">
        <f>'Revenue Model'!D43*0.10</f>
        <v/>
      </c>
      <c r="D13" s="5">
        <f>'Revenue Model'!D43*1.10</f>
        <v/>
      </c>
    </row>
    <row r="14">
      <c r="A14" t="inlineStr">
        <is>
          <t>Usuarios -10%</t>
        </is>
      </c>
      <c r="B14" t="inlineStr">
        <is>
          <t>-10%</t>
        </is>
      </c>
      <c r="C14" s="5">
        <f>'Revenue Model'!D43*(-0.10)</f>
        <v/>
      </c>
      <c r="D14" s="5">
        <f>'Revenue Model'!D43*0.90</f>
        <v/>
      </c>
    </row>
    <row r="15">
      <c r="A15" t="inlineStr">
        <is>
          <t>Precio servicios +20%</t>
        </is>
      </c>
      <c r="B15" t="inlineStr">
        <is>
          <t>+20%</t>
        </is>
      </c>
      <c r="C15" s="5">
        <f>'Revenue Model'!D29*0.20</f>
        <v/>
      </c>
      <c r="D15" s="5">
        <f>'Revenue Model'!D43+C15</f>
        <v/>
      </c>
    </row>
    <row r="16">
      <c r="A16" t="inlineStr">
        <is>
          <t>Precio servicios -20%</t>
        </is>
      </c>
      <c r="B16" t="inlineStr">
        <is>
          <t>-20%</t>
        </is>
      </c>
      <c r="C16" s="5">
        <f>'Revenue Model'!D29*(-0.20)</f>
        <v/>
      </c>
      <c r="D16" s="5">
        <f>'Revenue Model'!D43+C16</f>
        <v/>
      </c>
    </row>
    <row r="20">
      <c r="A20" s="9" t="inlineStr">
        <is>
          <t>PRINCIPALES RIESGOS Y MITIGACIÓN</t>
        </is>
      </c>
    </row>
    <row r="21">
      <c r="A21" s="61" t="inlineStr">
        <is>
          <t>Riesgo</t>
        </is>
      </c>
      <c r="B21" s="61" t="inlineStr">
        <is>
          <t>Probabilidad</t>
        </is>
      </c>
      <c r="C21" s="61" t="inlineStr">
        <is>
          <t>Impacto</t>
        </is>
      </c>
      <c r="D21" s="61" t="inlineStr">
        <is>
          <t>Mitigación</t>
        </is>
      </c>
    </row>
    <row r="22">
      <c r="A22" t="inlineStr">
        <is>
          <t>Adquisición usuarios lenta</t>
        </is>
      </c>
      <c r="B22" t="inlineStr">
        <is>
          <t>Media</t>
        </is>
      </c>
      <c r="C22" t="inlineStr">
        <is>
          <t>Alto</t>
        </is>
      </c>
      <c r="D22" t="inlineStr">
        <is>
          <t>Aumentar S&amp;M budget, partnerships</t>
        </is>
      </c>
    </row>
    <row r="23">
      <c r="A23" t="inlineStr">
        <is>
          <t>Regulación legal restrictiva</t>
        </is>
      </c>
      <c r="B23" t="inlineStr">
        <is>
          <t>Baja</t>
        </is>
      </c>
      <c r="C23" t="inlineStr">
        <is>
          <t>Alto</t>
        </is>
      </c>
      <c r="D23" t="inlineStr">
        <is>
          <t>Disclaimer claro, no asesoría legal</t>
        </is>
      </c>
    </row>
    <row r="24">
      <c r="A24" t="inlineStr">
        <is>
          <t>Competencia agresiva</t>
        </is>
      </c>
      <c r="B24" t="inlineStr">
        <is>
          <t>Alta</t>
        </is>
      </c>
      <c r="C24" t="inlineStr">
        <is>
          <t>Medio</t>
        </is>
      </c>
      <c r="D24" t="inlineStr">
        <is>
          <t>Focus en IA diferenciada</t>
        </is>
      </c>
    </row>
    <row r="25">
      <c r="A25" t="inlineStr">
        <is>
          <t>Costos API Claude suben</t>
        </is>
      </c>
      <c r="B25" t="inlineStr">
        <is>
          <t>Media</t>
        </is>
      </c>
      <c r="C25" t="inlineStr">
        <is>
          <t>Medio</t>
        </is>
      </c>
      <c r="D25" t="inlineStr">
        <is>
          <t>Optimizar prompts, caché, modelos</t>
        </is>
      </c>
    </row>
    <row r="26">
      <c r="A26" t="inlineStr">
        <is>
          <t>Churn abogados alto</t>
        </is>
      </c>
      <c r="B26" t="inlineStr">
        <is>
          <t>Media</t>
        </is>
      </c>
      <c r="C26" t="inlineStr">
        <is>
          <t>Alto</t>
        </is>
      </c>
      <c r="D26" t="inlineStr">
        <is>
          <t>Programa de éxito, comunidad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2025-11-12T21:24:59Z</dcterms:created>
  <dcterms:modified xsi:type="dcterms:W3CDTF">2025-11-12T21:24:59Z</dcterms:modified>
</cp:coreProperties>
</file>